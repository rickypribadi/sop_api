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Flow" sheetId="2" r:id="rId6"/>
    <sheet state="visible" name="Contoh perhitungan HPP" sheetId="3" r:id="rId7"/>
  </sheets>
  <definedNames/>
  <calcPr/>
</workbook>
</file>

<file path=xl/sharedStrings.xml><?xml version="1.0" encoding="utf-8"?>
<sst xmlns="http://schemas.openxmlformats.org/spreadsheetml/2006/main" count="262" uniqueCount="100">
  <si>
    <t>RawModel</t>
  </si>
  <si>
    <t>Purchase</t>
  </si>
  <si>
    <t>ext BaseModel</t>
  </si>
  <si>
    <t>MasterVendor</t>
  </si>
  <si>
    <t>Sales</t>
  </si>
  <si>
    <t>id</t>
  </si>
  <si>
    <t>ulid</t>
  </si>
  <si>
    <t>nomor</t>
  </si>
  <si>
    <t>str</t>
  </si>
  <si>
    <t>kode</t>
  </si>
  <si>
    <t>created_at</t>
  </si>
  <si>
    <t>datetime</t>
  </si>
  <si>
    <t>tanggal</t>
  </si>
  <si>
    <t>date</t>
  </si>
  <si>
    <t>nama</t>
  </si>
  <si>
    <t>nama_pelanggan</t>
  </si>
  <si>
    <t>created_by</t>
  </si>
  <si>
    <t>dpp</t>
  </si>
  <si>
    <t>decimal</t>
  </si>
  <si>
    <t>updated_at</t>
  </si>
  <si>
    <t>diskon</t>
  </si>
  <si>
    <t>remarks</t>
  </si>
  <si>
    <t>updated_by</t>
  </si>
  <si>
    <t>pph</t>
  </si>
  <si>
    <t>is_void</t>
  </si>
  <si>
    <t>bool</t>
  </si>
  <si>
    <t>ppn</t>
  </si>
  <si>
    <t>void_by</t>
  </si>
  <si>
    <t>BaseModel</t>
  </si>
  <si>
    <t>ext RawModel</t>
  </si>
  <si>
    <t>total</t>
  </si>
  <si>
    <t>void_at</t>
  </si>
  <si>
    <t>instance_id</t>
  </si>
  <si>
    <t>void_reason</t>
  </si>
  <si>
    <t>MasterInstance</t>
  </si>
  <si>
    <t>pajak</t>
  </si>
  <si>
    <t>purchase_dts</t>
  </si>
  <si>
    <t>PurchaseDetail</t>
  </si>
  <si>
    <t>rounding</t>
  </si>
  <si>
    <t>is_active</t>
  </si>
  <si>
    <t>vendor_id</t>
  </si>
  <si>
    <t>no_order</t>
  </si>
  <si>
    <t>int</t>
  </si>
  <si>
    <t>text</t>
  </si>
  <si>
    <t>barang_id</t>
  </si>
  <si>
    <t>MasterBarang</t>
  </si>
  <si>
    <t>sales_dts</t>
  </si>
  <si>
    <t>SalesDetail</t>
  </si>
  <si>
    <t>MasterUser</t>
  </si>
  <si>
    <t>jumlah</t>
  </si>
  <si>
    <t>harga_beli</t>
  </si>
  <si>
    <t>hpp</t>
  </si>
  <si>
    <t>barcode</t>
  </si>
  <si>
    <t>PurchaseDetailPlacement</t>
  </si>
  <si>
    <t>placement_dts</t>
  </si>
  <si>
    <t>harga_jual</t>
  </si>
  <si>
    <t>MappingUserInstance</t>
  </si>
  <si>
    <t>purchase_dt_id</t>
  </si>
  <si>
    <t>user_id</t>
  </si>
  <si>
    <t>lokasi_id</t>
  </si>
  <si>
    <t>lokasi_dts</t>
  </si>
  <si>
    <t>MasterLokasi</t>
  </si>
  <si>
    <t>Invoice</t>
  </si>
  <si>
    <t>purchase_hd_id</t>
  </si>
  <si>
    <t>tanggal_jatuh_tempo</t>
  </si>
  <si>
    <t>invoice_dts</t>
  </si>
  <si>
    <t>InvoiceDetail</t>
  </si>
  <si>
    <t>Payment</t>
  </si>
  <si>
    <t>invoice_id</t>
  </si>
  <si>
    <t>harga</t>
  </si>
  <si>
    <t>nama_pembayar</t>
  </si>
  <si>
    <t>nama_penerima</t>
  </si>
  <si>
    <t>amount</t>
  </si>
  <si>
    <t>No</t>
  </si>
  <si>
    <t>Process</t>
  </si>
  <si>
    <t>User login dengan akses token berisi hak akses multiple instance dan multiple role</t>
  </si>
  <si>
    <t>Pembelian melalui modul purchasing</t>
  </si>
  <si>
    <t>Setelah proses purchasing, user akan membuat invoice dari purchasing tersebut</t>
  </si>
  <si>
    <t>Paralel dengan pembuatan invoice, user juga boleh input peletakkan barang di lokasi mana</t>
  </si>
  <si>
    <t>Setalah input peletakkan barang maka hpp baru terhitung</t>
  </si>
  <si>
    <t>Setelah proses invoice, user baru boleh membuat payment</t>
  </si>
  <si>
    <t>Invoice juga bisa diretur barangnya jika sudah dimasukkan barangnya</t>
  </si>
  <si>
    <t>Setelah masuk ke lokasi, barang dapat dijual melalui modul sales</t>
  </si>
  <si>
    <t>Setelah sales diinput maka hpp akan terbuat juga row nya</t>
  </si>
  <si>
    <t>Sales juga dapat dilakukan refund untuk pengembalian barang, tapi terdapat 2 pilhan yaitu refund barang rusak dan refund biasa</t>
  </si>
  <si>
    <t>Jika refund barang rusak maka akan tidak masuk ke lokasi lagi dan tidak menambah stok</t>
  </si>
  <si>
    <t>Buatkan juga modul untuk stok opname dan laporan (Laporan Stok dan Laporan Penjualan Bulanan)</t>
  </si>
  <si>
    <t>Barang</t>
  </si>
  <si>
    <t>Harga</t>
  </si>
  <si>
    <t>Jumlah</t>
  </si>
  <si>
    <t>Stok</t>
  </si>
  <si>
    <t>HPP</t>
  </si>
  <si>
    <t>Jenis</t>
  </si>
  <si>
    <t>Ulcerid</t>
  </si>
  <si>
    <t>BEGBAL</t>
  </si>
  <si>
    <t>MASUK</t>
  </si>
  <si>
    <t>JUAL</t>
  </si>
  <si>
    <t>RETUR</t>
  </si>
  <si>
    <t>REFUND_RUSAK</t>
  </si>
  <si>
    <t>REFUND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</si>
</sst>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0</v>
      </c>
      <c r="B1" s="2"/>
      <c r="C1" s="2"/>
      <c r="D1" s="1" t="s">
        <v>1</v>
      </c>
      <c r="E1" s="2" t="s">
        <v>2</v>
      </c>
      <c r="G1" s="1" t="s">
        <v>3</v>
      </c>
      <c r="H1" s="2" t="s">
        <v>2</v>
      </c>
      <c r="P1" s="1" t="s">
        <v>4</v>
      </c>
      <c r="Q1" s="2" t="s">
        <v>2</v>
      </c>
    </row>
    <row r="2">
      <c r="A2" s="2" t="s">
        <v>5</v>
      </c>
      <c r="B2" s="2" t="s">
        <v>6</v>
      </c>
      <c r="C2" s="2"/>
      <c r="D2" s="2" t="s">
        <v>7</v>
      </c>
      <c r="E2" s="2" t="s">
        <v>8</v>
      </c>
      <c r="G2" s="2" t="s">
        <v>9</v>
      </c>
      <c r="H2" s="2" t="s">
        <v>8</v>
      </c>
      <c r="P2" s="2" t="s">
        <v>7</v>
      </c>
      <c r="Q2" s="2" t="s">
        <v>8</v>
      </c>
    </row>
    <row r="3">
      <c r="A3" s="2" t="s">
        <v>10</v>
      </c>
      <c r="B3" s="2" t="s">
        <v>11</v>
      </c>
      <c r="C3" s="2"/>
      <c r="D3" s="2" t="s">
        <v>12</v>
      </c>
      <c r="E3" s="2" t="s">
        <v>13</v>
      </c>
      <c r="G3" s="2" t="s">
        <v>14</v>
      </c>
      <c r="H3" s="2" t="s">
        <v>8</v>
      </c>
      <c r="P3" s="2" t="s">
        <v>15</v>
      </c>
      <c r="Q3" s="2" t="s">
        <v>8</v>
      </c>
    </row>
    <row r="4">
      <c r="A4" s="2" t="s">
        <v>16</v>
      </c>
      <c r="B4" s="2" t="s">
        <v>6</v>
      </c>
      <c r="C4" s="2"/>
      <c r="D4" s="2" t="s">
        <v>17</v>
      </c>
      <c r="E4" s="2" t="s">
        <v>18</v>
      </c>
      <c r="P4" s="2" t="s">
        <v>12</v>
      </c>
      <c r="Q4" s="2" t="s">
        <v>13</v>
      </c>
    </row>
    <row r="5">
      <c r="A5" s="2" t="s">
        <v>19</v>
      </c>
      <c r="B5" s="2" t="s">
        <v>11</v>
      </c>
      <c r="C5" s="2"/>
      <c r="D5" s="2" t="s">
        <v>20</v>
      </c>
      <c r="E5" s="2" t="s">
        <v>18</v>
      </c>
      <c r="P5" s="2" t="s">
        <v>21</v>
      </c>
      <c r="Q5" s="2" t="s">
        <v>8</v>
      </c>
    </row>
    <row r="6">
      <c r="A6" s="2" t="s">
        <v>22</v>
      </c>
      <c r="B6" s="2" t="s">
        <v>6</v>
      </c>
      <c r="C6" s="2"/>
      <c r="D6" s="2" t="s">
        <v>23</v>
      </c>
      <c r="E6" s="2" t="s">
        <v>18</v>
      </c>
      <c r="P6" s="2" t="s">
        <v>24</v>
      </c>
      <c r="Q6" s="2" t="s">
        <v>25</v>
      </c>
    </row>
    <row r="7">
      <c r="C7" s="2"/>
      <c r="D7" s="2" t="s">
        <v>26</v>
      </c>
      <c r="E7" s="2" t="s">
        <v>18</v>
      </c>
      <c r="P7" s="2" t="s">
        <v>27</v>
      </c>
      <c r="Q7" s="2" t="s">
        <v>6</v>
      </c>
    </row>
    <row r="8">
      <c r="A8" s="1" t="s">
        <v>28</v>
      </c>
      <c r="B8" s="2" t="s">
        <v>29</v>
      </c>
      <c r="C8" s="2"/>
      <c r="D8" s="2" t="s">
        <v>30</v>
      </c>
      <c r="E8" s="2" t="s">
        <v>18</v>
      </c>
      <c r="P8" s="2" t="s">
        <v>31</v>
      </c>
      <c r="Q8" s="2" t="s">
        <v>11</v>
      </c>
    </row>
    <row r="9">
      <c r="A9" s="2" t="s">
        <v>32</v>
      </c>
      <c r="B9" s="2" t="s">
        <v>6</v>
      </c>
      <c r="C9" s="2"/>
      <c r="D9" s="2" t="s">
        <v>24</v>
      </c>
      <c r="E9" s="2" t="s">
        <v>25</v>
      </c>
      <c r="P9" s="2" t="s">
        <v>33</v>
      </c>
      <c r="Q9" s="2" t="s">
        <v>8</v>
      </c>
    </row>
    <row r="10">
      <c r="D10" s="2" t="s">
        <v>27</v>
      </c>
      <c r="E10" s="2" t="s">
        <v>6</v>
      </c>
      <c r="P10" s="2" t="s">
        <v>17</v>
      </c>
      <c r="Q10" s="2" t="s">
        <v>18</v>
      </c>
    </row>
    <row r="11">
      <c r="A11" s="1" t="s">
        <v>34</v>
      </c>
      <c r="B11" s="2" t="s">
        <v>29</v>
      </c>
      <c r="D11" s="2" t="s">
        <v>31</v>
      </c>
      <c r="E11" s="2" t="s">
        <v>11</v>
      </c>
      <c r="P11" s="2" t="s">
        <v>35</v>
      </c>
      <c r="Q11" s="2" t="s">
        <v>18</v>
      </c>
    </row>
    <row r="12">
      <c r="A12" s="2" t="s">
        <v>9</v>
      </c>
      <c r="B12" s="2" t="s">
        <v>8</v>
      </c>
      <c r="D12" s="2" t="s">
        <v>33</v>
      </c>
      <c r="E12" s="2" t="s">
        <v>8</v>
      </c>
      <c r="P12" s="2" t="s">
        <v>20</v>
      </c>
      <c r="Q12" s="2" t="s">
        <v>18</v>
      </c>
    </row>
    <row r="13">
      <c r="A13" s="2" t="s">
        <v>14</v>
      </c>
      <c r="B13" s="2" t="s">
        <v>8</v>
      </c>
      <c r="D13" s="2" t="s">
        <v>36</v>
      </c>
      <c r="G13" s="1" t="s">
        <v>37</v>
      </c>
      <c r="H13" s="2" t="s">
        <v>2</v>
      </c>
      <c r="P13" s="2" t="s">
        <v>38</v>
      </c>
      <c r="Q13" s="2" t="s">
        <v>18</v>
      </c>
    </row>
    <row r="14">
      <c r="A14" s="2" t="s">
        <v>39</v>
      </c>
      <c r="B14" s="2" t="s">
        <v>25</v>
      </c>
      <c r="D14" s="2" t="s">
        <v>40</v>
      </c>
      <c r="E14" s="2" t="s">
        <v>6</v>
      </c>
      <c r="G14" s="2" t="s">
        <v>41</v>
      </c>
      <c r="H14" s="2" t="s">
        <v>42</v>
      </c>
      <c r="P14" s="2" t="s">
        <v>30</v>
      </c>
      <c r="Q14" s="2" t="s">
        <v>18</v>
      </c>
    </row>
    <row r="15">
      <c r="B15" s="2"/>
      <c r="C15" s="2"/>
      <c r="D15" s="2" t="s">
        <v>21</v>
      </c>
      <c r="E15" s="2" t="s">
        <v>43</v>
      </c>
      <c r="G15" s="2" t="s">
        <v>44</v>
      </c>
      <c r="H15" s="2" t="s">
        <v>6</v>
      </c>
      <c r="J15" s="1" t="s">
        <v>45</v>
      </c>
      <c r="K15" s="2" t="s">
        <v>2</v>
      </c>
      <c r="P15" s="2" t="s">
        <v>46</v>
      </c>
      <c r="S15" s="1" t="s">
        <v>47</v>
      </c>
      <c r="T15" s="2" t="s">
        <v>2</v>
      </c>
    </row>
    <row r="16">
      <c r="A16" s="1" t="s">
        <v>48</v>
      </c>
      <c r="B16" s="2" t="s">
        <v>29</v>
      </c>
      <c r="C16" s="2"/>
      <c r="G16" s="2" t="s">
        <v>49</v>
      </c>
      <c r="H16" s="2" t="s">
        <v>42</v>
      </c>
      <c r="J16" s="2" t="s">
        <v>9</v>
      </c>
      <c r="K16" s="2" t="s">
        <v>8</v>
      </c>
      <c r="S16" s="2" t="s">
        <v>41</v>
      </c>
      <c r="T16" s="2" t="s">
        <v>42</v>
      </c>
    </row>
    <row r="17">
      <c r="A17" s="2" t="s">
        <v>14</v>
      </c>
      <c r="B17" s="2" t="s">
        <v>8</v>
      </c>
      <c r="C17" s="2"/>
      <c r="G17" s="2" t="s">
        <v>50</v>
      </c>
      <c r="H17" s="2" t="s">
        <v>18</v>
      </c>
      <c r="J17" s="2" t="s">
        <v>14</v>
      </c>
      <c r="K17" s="2" t="s">
        <v>8</v>
      </c>
      <c r="S17" s="2" t="s">
        <v>44</v>
      </c>
      <c r="T17" s="2" t="s">
        <v>6</v>
      </c>
    </row>
    <row r="18">
      <c r="A18" s="2" t="s">
        <v>39</v>
      </c>
      <c r="B18" s="2" t="s">
        <v>25</v>
      </c>
      <c r="C18" s="2"/>
      <c r="G18" s="2" t="s">
        <v>51</v>
      </c>
      <c r="H18" s="2" t="s">
        <v>18</v>
      </c>
      <c r="J18" s="2" t="s">
        <v>52</v>
      </c>
      <c r="K18" s="2" t="s">
        <v>8</v>
      </c>
      <c r="S18" s="2" t="s">
        <v>49</v>
      </c>
      <c r="T18" s="2" t="s">
        <v>42</v>
      </c>
    </row>
    <row r="19">
      <c r="D19" s="1" t="s">
        <v>53</v>
      </c>
      <c r="E19" s="2" t="s">
        <v>2</v>
      </c>
      <c r="G19" s="2" t="s">
        <v>54</v>
      </c>
      <c r="J19" s="2" t="s">
        <v>49</v>
      </c>
      <c r="K19" s="2" t="s">
        <v>42</v>
      </c>
      <c r="S19" s="2" t="s">
        <v>55</v>
      </c>
      <c r="T19" s="2" t="s">
        <v>18</v>
      </c>
    </row>
    <row r="20">
      <c r="A20" s="1" t="s">
        <v>56</v>
      </c>
      <c r="B20" s="2" t="s">
        <v>29</v>
      </c>
      <c r="C20" s="2"/>
      <c r="D20" s="2" t="s">
        <v>57</v>
      </c>
      <c r="E20" s="2" t="s">
        <v>6</v>
      </c>
      <c r="J20" s="2" t="s">
        <v>51</v>
      </c>
      <c r="K20" s="2" t="s">
        <v>18</v>
      </c>
      <c r="S20" s="2" t="s">
        <v>51</v>
      </c>
      <c r="T20" s="2" t="s">
        <v>18</v>
      </c>
    </row>
    <row r="21">
      <c r="A21" s="2" t="s">
        <v>58</v>
      </c>
      <c r="B21" s="2" t="s">
        <v>6</v>
      </c>
      <c r="C21" s="2"/>
      <c r="D21" s="2" t="s">
        <v>59</v>
      </c>
      <c r="E21" s="2" t="s">
        <v>6</v>
      </c>
      <c r="J21" s="2" t="s">
        <v>55</v>
      </c>
      <c r="K21" s="2" t="s">
        <v>18</v>
      </c>
    </row>
    <row r="22">
      <c r="A22" s="2" t="s">
        <v>32</v>
      </c>
      <c r="B22" s="2" t="s">
        <v>6</v>
      </c>
      <c r="C22" s="2"/>
      <c r="D22" s="2" t="s">
        <v>49</v>
      </c>
      <c r="E22" s="2" t="s">
        <v>42</v>
      </c>
      <c r="J22" s="2" t="s">
        <v>39</v>
      </c>
      <c r="K22" s="2" t="s">
        <v>25</v>
      </c>
    </row>
    <row r="23">
      <c r="A23" s="2" t="s">
        <v>39</v>
      </c>
      <c r="B23" s="2" t="s">
        <v>25</v>
      </c>
      <c r="C23" s="2"/>
      <c r="J23" s="2" t="s">
        <v>60</v>
      </c>
      <c r="M23" s="1" t="s">
        <v>61</v>
      </c>
      <c r="N23" s="2" t="s">
        <v>2</v>
      </c>
    </row>
    <row r="24">
      <c r="A24" s="2"/>
      <c r="B24" s="2"/>
      <c r="C24" s="2"/>
      <c r="D24" s="1" t="s">
        <v>62</v>
      </c>
      <c r="E24" s="2" t="s">
        <v>2</v>
      </c>
      <c r="M24" s="2" t="s">
        <v>14</v>
      </c>
      <c r="N24" s="2" t="s">
        <v>8</v>
      </c>
    </row>
    <row r="25">
      <c r="A25" s="2"/>
      <c r="B25" s="2"/>
      <c r="C25" s="2"/>
      <c r="D25" s="2" t="s">
        <v>7</v>
      </c>
      <c r="E25" s="2" t="s">
        <v>8</v>
      </c>
      <c r="M25" s="2" t="s">
        <v>44</v>
      </c>
      <c r="N25" s="2" t="s">
        <v>6</v>
      </c>
    </row>
    <row r="26">
      <c r="A26" s="2"/>
      <c r="B26" s="2"/>
      <c r="C26" s="2"/>
      <c r="D26" s="2" t="s">
        <v>63</v>
      </c>
      <c r="E26" s="2" t="s">
        <v>6</v>
      </c>
      <c r="M26" s="2" t="s">
        <v>49</v>
      </c>
      <c r="N26" s="2" t="s">
        <v>42</v>
      </c>
    </row>
    <row r="27">
      <c r="A27" s="2"/>
      <c r="B27" s="2"/>
      <c r="C27" s="2"/>
      <c r="D27" s="2" t="s">
        <v>12</v>
      </c>
      <c r="E27" s="2" t="s">
        <v>6</v>
      </c>
      <c r="M27" s="2" t="s">
        <v>39</v>
      </c>
      <c r="N27" s="2" t="s">
        <v>25</v>
      </c>
    </row>
    <row r="28">
      <c r="A28" s="2"/>
      <c r="B28" s="2"/>
      <c r="C28" s="2"/>
      <c r="D28" s="2" t="s">
        <v>64</v>
      </c>
      <c r="E28" s="2" t="s">
        <v>6</v>
      </c>
    </row>
    <row r="29">
      <c r="A29" s="2"/>
      <c r="B29" s="2"/>
      <c r="C29" s="2"/>
      <c r="D29" s="2" t="s">
        <v>17</v>
      </c>
      <c r="E29" s="2" t="s">
        <v>18</v>
      </c>
    </row>
    <row r="30">
      <c r="A30" s="2"/>
      <c r="B30" s="2"/>
      <c r="C30" s="2"/>
      <c r="D30" s="2" t="s">
        <v>20</v>
      </c>
      <c r="E30" s="2" t="s">
        <v>18</v>
      </c>
    </row>
    <row r="31">
      <c r="D31" s="2" t="s">
        <v>23</v>
      </c>
      <c r="E31" s="2" t="s">
        <v>18</v>
      </c>
    </row>
    <row r="32">
      <c r="D32" s="2" t="s">
        <v>26</v>
      </c>
      <c r="E32" s="2" t="s">
        <v>18</v>
      </c>
    </row>
    <row r="33">
      <c r="D33" s="2" t="s">
        <v>30</v>
      </c>
      <c r="E33" s="2" t="s">
        <v>18</v>
      </c>
    </row>
    <row r="34">
      <c r="D34" s="2" t="s">
        <v>24</v>
      </c>
      <c r="E34" s="2" t="s">
        <v>25</v>
      </c>
    </row>
    <row r="35">
      <c r="D35" s="2" t="s">
        <v>27</v>
      </c>
      <c r="E35" s="2" t="s">
        <v>6</v>
      </c>
    </row>
    <row r="36">
      <c r="D36" s="2" t="s">
        <v>31</v>
      </c>
      <c r="E36" s="2" t="s">
        <v>11</v>
      </c>
    </row>
    <row r="37">
      <c r="D37" s="2" t="s">
        <v>33</v>
      </c>
      <c r="E37" s="2" t="s">
        <v>8</v>
      </c>
    </row>
    <row r="38">
      <c r="D38" s="2" t="s">
        <v>65</v>
      </c>
      <c r="G38" s="1" t="s">
        <v>66</v>
      </c>
      <c r="H38" s="2" t="s">
        <v>2</v>
      </c>
    </row>
    <row r="39">
      <c r="G39" s="2" t="s">
        <v>41</v>
      </c>
      <c r="H39" s="2" t="s">
        <v>42</v>
      </c>
    </row>
    <row r="40">
      <c r="G40" s="2" t="s">
        <v>57</v>
      </c>
      <c r="H40" s="2" t="s">
        <v>6</v>
      </c>
    </row>
    <row r="41">
      <c r="D41" s="1" t="s">
        <v>67</v>
      </c>
      <c r="E41" s="2" t="s">
        <v>2</v>
      </c>
      <c r="G41" s="2" t="s">
        <v>49</v>
      </c>
      <c r="H41" s="2" t="s">
        <v>42</v>
      </c>
    </row>
    <row r="42">
      <c r="D42" s="2" t="s">
        <v>68</v>
      </c>
      <c r="E42" s="2" t="s">
        <v>6</v>
      </c>
      <c r="G42" s="2" t="s">
        <v>69</v>
      </c>
      <c r="H42" s="2" t="s">
        <v>18</v>
      </c>
    </row>
    <row r="43">
      <c r="D43" s="2" t="s">
        <v>7</v>
      </c>
      <c r="E43" s="2" t="s">
        <v>8</v>
      </c>
    </row>
    <row r="44">
      <c r="D44" s="2" t="s">
        <v>12</v>
      </c>
      <c r="E44" s="2" t="s">
        <v>13</v>
      </c>
    </row>
    <row r="45">
      <c r="D45" s="2" t="s">
        <v>70</v>
      </c>
      <c r="E45" s="2" t="s">
        <v>8</v>
      </c>
    </row>
    <row r="46">
      <c r="D46" s="2" t="s">
        <v>71</v>
      </c>
      <c r="E46" s="2" t="s">
        <v>8</v>
      </c>
    </row>
    <row r="47">
      <c r="D47" s="2" t="s">
        <v>72</v>
      </c>
      <c r="E47" s="2" t="s">
        <v>18</v>
      </c>
    </row>
    <row r="48">
      <c r="D48" s="2" t="s">
        <v>24</v>
      </c>
      <c r="E48" s="2" t="s">
        <v>25</v>
      </c>
    </row>
    <row r="49">
      <c r="D49" s="2" t="s">
        <v>27</v>
      </c>
      <c r="E49" s="2" t="s">
        <v>6</v>
      </c>
    </row>
    <row r="50">
      <c r="D50" s="2" t="s">
        <v>31</v>
      </c>
      <c r="E50" s="2" t="s">
        <v>11</v>
      </c>
    </row>
    <row r="51">
      <c r="D51" s="2" t="s">
        <v>33</v>
      </c>
      <c r="E51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</cols>
  <sheetData>
    <row r="1">
      <c r="A1" s="2" t="s">
        <v>73</v>
      </c>
      <c r="B1" s="2" t="s">
        <v>74</v>
      </c>
    </row>
    <row r="2">
      <c r="A2" s="2">
        <v>1.0</v>
      </c>
      <c r="B2" s="2" t="s">
        <v>75</v>
      </c>
    </row>
    <row r="3">
      <c r="A3" s="2">
        <v>2.0</v>
      </c>
      <c r="B3" s="2" t="s">
        <v>76</v>
      </c>
    </row>
    <row r="4">
      <c r="A4" s="2">
        <v>3.0</v>
      </c>
      <c r="B4" s="2" t="s">
        <v>77</v>
      </c>
    </row>
    <row r="5">
      <c r="A5" s="2">
        <v>4.0</v>
      </c>
      <c r="B5" s="2" t="s">
        <v>78</v>
      </c>
    </row>
    <row r="6">
      <c r="A6" s="2">
        <v>5.0</v>
      </c>
      <c r="B6" s="2" t="s">
        <v>79</v>
      </c>
    </row>
    <row r="7">
      <c r="A7" s="2">
        <v>6.0</v>
      </c>
      <c r="B7" s="2" t="s">
        <v>80</v>
      </c>
    </row>
    <row r="8">
      <c r="A8" s="2">
        <v>7.0</v>
      </c>
      <c r="B8" s="2" t="s">
        <v>81</v>
      </c>
    </row>
    <row r="9">
      <c r="A9" s="2">
        <v>8.0</v>
      </c>
      <c r="B9" s="2" t="s">
        <v>82</v>
      </c>
    </row>
    <row r="10">
      <c r="A10" s="2">
        <v>9.0</v>
      </c>
      <c r="B10" s="2" t="s">
        <v>83</v>
      </c>
    </row>
    <row r="11">
      <c r="A11" s="2">
        <v>10.0</v>
      </c>
      <c r="B11" s="2" t="s">
        <v>84</v>
      </c>
    </row>
    <row r="12">
      <c r="A12" s="2">
        <v>11.0</v>
      </c>
      <c r="B12" s="2" t="s">
        <v>85</v>
      </c>
    </row>
    <row r="13">
      <c r="A13" s="2">
        <v>12.0</v>
      </c>
      <c r="B13" s="2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</cols>
  <sheetData>
    <row r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>
      <c r="A2" s="2" t="s">
        <v>93</v>
      </c>
      <c r="B2" s="2">
        <v>0.0</v>
      </c>
      <c r="C2" s="2">
        <v>0.0</v>
      </c>
      <c r="D2" s="2">
        <v>0.0</v>
      </c>
      <c r="E2" s="3">
        <v>0.0</v>
      </c>
      <c r="F2" s="2" t="s">
        <v>94</v>
      </c>
    </row>
    <row r="3">
      <c r="A3" s="2" t="s">
        <v>93</v>
      </c>
      <c r="B3" s="2">
        <v>60000.0</v>
      </c>
      <c r="C3" s="2">
        <v>5.0</v>
      </c>
      <c r="D3" s="2">
        <v>5.0</v>
      </c>
      <c r="E3" s="3">
        <v>60000.0</v>
      </c>
      <c r="F3" s="2" t="s">
        <v>95</v>
      </c>
    </row>
    <row r="4">
      <c r="A4" s="2" t="s">
        <v>93</v>
      </c>
      <c r="B4" s="2">
        <v>70000.0</v>
      </c>
      <c r="C4" s="2">
        <v>2.0</v>
      </c>
      <c r="D4" s="2">
        <v>3.0</v>
      </c>
      <c r="E4" s="3">
        <v>60000.0</v>
      </c>
      <c r="F4" s="2" t="s">
        <v>96</v>
      </c>
    </row>
    <row r="5">
      <c r="A5" s="2" t="s">
        <v>93</v>
      </c>
      <c r="B5" s="2">
        <v>65000.0</v>
      </c>
      <c r="C5" s="2">
        <v>10.0</v>
      </c>
      <c r="D5" s="2">
        <v>13.0</v>
      </c>
      <c r="E5" s="4">
        <f>((B5*C5)+(E4*D4))/D5</f>
        <v>63846.15385</v>
      </c>
      <c r="F5" s="2" t="s">
        <v>95</v>
      </c>
    </row>
    <row r="6">
      <c r="A6" s="2" t="s">
        <v>93</v>
      </c>
      <c r="B6" s="2">
        <v>70000.0</v>
      </c>
      <c r="C6" s="2">
        <v>1.0</v>
      </c>
      <c r="D6" s="2">
        <v>12.0</v>
      </c>
      <c r="E6" s="4">
        <f>E5</f>
        <v>63846.15385</v>
      </c>
      <c r="F6" s="2" t="s">
        <v>96</v>
      </c>
    </row>
    <row r="7">
      <c r="A7" s="2" t="s">
        <v>93</v>
      </c>
      <c r="B7" s="2">
        <v>55000.0</v>
      </c>
      <c r="C7" s="2">
        <v>5.0</v>
      </c>
      <c r="D7" s="2">
        <v>17.0</v>
      </c>
      <c r="E7" s="4">
        <f>((B7*C7)+(E6*D6))/D7</f>
        <v>61244.34389</v>
      </c>
      <c r="F7" s="2" t="s">
        <v>95</v>
      </c>
    </row>
    <row r="8">
      <c r="A8" s="2" t="s">
        <v>93</v>
      </c>
      <c r="B8" s="2">
        <v>65000.0</v>
      </c>
      <c r="C8" s="2">
        <v>5.0</v>
      </c>
      <c r="D8" s="2">
        <v>12.0</v>
      </c>
      <c r="E8" s="4">
        <f>((E7*D7)-(C8*B8))/D8</f>
        <v>59679.48718</v>
      </c>
      <c r="F8" s="2" t="s">
        <v>97</v>
      </c>
    </row>
    <row r="9">
      <c r="A9" s="2" t="s">
        <v>93</v>
      </c>
      <c r="B9" s="2">
        <v>68500.0</v>
      </c>
      <c r="C9" s="2">
        <v>1.0</v>
      </c>
      <c r="D9" s="2">
        <v>11.0</v>
      </c>
      <c r="E9" s="4">
        <f t="shared" ref="E9:E11" si="1">E8</f>
        <v>59679.48718</v>
      </c>
      <c r="F9" s="2" t="s">
        <v>96</v>
      </c>
    </row>
    <row r="10">
      <c r="A10" s="2" t="s">
        <v>93</v>
      </c>
      <c r="B10" s="2">
        <v>70000.0</v>
      </c>
      <c r="C10" s="2">
        <v>1.0</v>
      </c>
      <c r="D10" s="2">
        <v>11.0</v>
      </c>
      <c r="E10" s="4">
        <f t="shared" si="1"/>
        <v>59679.48718</v>
      </c>
      <c r="F10" s="2" t="s">
        <v>98</v>
      </c>
    </row>
    <row r="11">
      <c r="A11" s="2" t="s">
        <v>93</v>
      </c>
      <c r="B11" s="2">
        <v>70000.0</v>
      </c>
      <c r="C11" s="2">
        <v>1.0</v>
      </c>
      <c r="D11" s="2">
        <v>12.0</v>
      </c>
      <c r="E11" s="4">
        <f t="shared" si="1"/>
        <v>59679.48718</v>
      </c>
      <c r="F11" s="2" t="s">
        <v>99</v>
      </c>
    </row>
  </sheetData>
  <drawing r:id="rId1"/>
</worksheet>
</file>